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zu\00_Dev\2023-SIT-SCfCL-1-Ans\Lecture07\"/>
    </mc:Choice>
  </mc:AlternateContent>
  <xr:revisionPtr revIDLastSave="0" documentId="13_ncr:1_{5F34FDF7-E6C4-4175-9456-9D726CE6B1C8}" xr6:coauthVersionLast="36" xr6:coauthVersionMax="36" xr10:uidLastSave="{00000000-0000-0000-0000-000000000000}"/>
  <bookViews>
    <workbookView xWindow="0" yWindow="600" windowWidth="17070" windowHeight="7890" xr2:uid="{1CBED803-8153-467E-B96E-FA7EED0D0FC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H17" i="1"/>
  <c r="H18" i="1"/>
  <c r="H19" i="1"/>
  <c r="H20" i="1"/>
  <c r="H21" i="1"/>
  <c r="H15" i="1"/>
  <c r="G16" i="1"/>
  <c r="G17" i="1"/>
  <c r="G18" i="1"/>
  <c r="G19" i="1"/>
  <c r="G20" i="1"/>
  <c r="G21" i="1"/>
  <c r="G15" i="1"/>
  <c r="F16" i="1"/>
  <c r="F17" i="1"/>
  <c r="F18" i="1"/>
  <c r="F19" i="1"/>
  <c r="F20" i="1"/>
  <c r="F21" i="1"/>
  <c r="F15" i="1"/>
</calcChain>
</file>

<file path=xl/sharedStrings.xml><?xml version="1.0" encoding="utf-8"?>
<sst xmlns="http://schemas.openxmlformats.org/spreadsheetml/2006/main" count="27" uniqueCount="14">
  <si>
    <t>世帯数
(万世帯)</t>
    <rPh sb="0" eb="3">
      <t>セタイスウ</t>
    </rPh>
    <rPh sb="5" eb="8">
      <t>マンセタイ</t>
    </rPh>
    <phoneticPr fontId="1"/>
  </si>
  <si>
    <t>世帯当たりの人口
(人/世帯)</t>
    <rPh sb="0" eb="2">
      <t>セタイ</t>
    </rPh>
    <rPh sb="2" eb="3">
      <t>ア</t>
    </rPh>
    <rPh sb="6" eb="8">
      <t>ジンコウ</t>
    </rPh>
    <rPh sb="10" eb="11">
      <t>ニン</t>
    </rPh>
    <rPh sb="12" eb="14">
      <t>セタイ</t>
    </rPh>
    <phoneticPr fontId="1"/>
  </si>
  <si>
    <r>
      <t>人口密度
(人/km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ジンコウ</t>
    </rPh>
    <rPh sb="2" eb="4">
      <t>ミツド</t>
    </rPh>
    <rPh sb="6" eb="7">
      <t>ニン</t>
    </rPh>
    <phoneticPr fontId="1"/>
  </si>
  <si>
    <r>
      <t>世帯密度
(世帯/km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セタイ</t>
    </rPh>
    <rPh sb="2" eb="4">
      <t>ミツド</t>
    </rPh>
    <rPh sb="6" eb="8">
      <t>セタイ</t>
    </rPh>
    <phoneticPr fontId="1"/>
  </si>
  <si>
    <r>
      <t>面積
(km</t>
    </r>
    <r>
      <rPr>
        <b/>
        <vertAlign val="superscript"/>
        <sz val="11"/>
        <color theme="1"/>
        <rFont val="游ゴシック"/>
        <family val="3"/>
        <charset val="128"/>
        <scheme val="minor"/>
      </rPr>
      <t>2</t>
    </r>
    <r>
      <rPr>
        <b/>
        <sz val="11"/>
        <color theme="1"/>
        <rFont val="游ゴシック"/>
        <family val="3"/>
        <charset val="128"/>
        <scheme val="minor"/>
      </rPr>
      <t>)</t>
    </r>
    <rPh sb="0" eb="2">
      <t>メンセキ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</si>
  <si>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</si>
  <si>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</si>
  <si>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千葉県</t>
    <rPh sb="0" eb="3">
      <t>チバケン</t>
    </rPh>
    <phoneticPr fontId="1"/>
  </si>
  <si>
    <t>埼玉県</t>
    <rPh sb="0" eb="3">
      <t>サイタマケン</t>
    </rPh>
    <phoneticPr fontId="1"/>
  </si>
  <si>
    <t>茨城県</t>
    <rPh sb="0" eb="3">
      <t>イバラキケン</t>
    </rPh>
    <phoneticPr fontId="1"/>
  </si>
  <si>
    <t>栃木県</t>
    <rPh sb="0" eb="3">
      <t>トチギケン</t>
    </rPh>
    <phoneticPr fontId="1"/>
  </si>
  <si>
    <t>群馬県</t>
    <rPh sb="0" eb="2">
      <t>グンマ</t>
    </rPh>
    <rPh sb="2" eb="3">
      <t>ケン</t>
    </rPh>
    <phoneticPr fontId="1"/>
  </si>
  <si>
    <t>人口
(万人)</t>
    <rPh sb="0" eb="2">
      <t>ジンコウ</t>
    </rPh>
    <rPh sb="4" eb="5">
      <t>マン</t>
    </rPh>
    <rPh sb="5" eb="6">
      <t>ニン</t>
    </rPh>
    <phoneticPr fontId="1"/>
  </si>
  <si>
    <t>エクセル上で計算したもの</t>
    <rPh sb="4" eb="5">
      <t>ジョウ</t>
    </rPh>
    <rPh sb="6" eb="8">
      <t>ケイサン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</si>
</sst>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#,##0.0;[Red]\-#,##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vertAlign val="superscript"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1" applyNumberFormat="1" applyFont="1" applyBorder="1">
      <alignment vertical="center"/>
    </xf>
    <xf numFmtId="38" fontId="0" fillId="0" borderId="1" xfId="1" applyNumberFormat="1" applyFont="1" applyBorder="1">
      <alignment vertical="center"/>
    </xf>
    <xf numFmtId="0" fontId="0" fillId="0" borderId="0" xfId="0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</xdr:row>
          <xdr:rowOff>457200</xdr:rowOff>
        </xdr:from>
        <xdr:to>
          <xdr:col>11</xdr:col>
          <xdr:colOff>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10</xdr:col>
          <xdr:colOff>676275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Contents 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50E71-3BDA-464D-98A9-B94093416424}">
  <sheetPr codeName="Sheet1"/>
  <dimension ref="B2:H21"/>
  <sheetViews>
    <sheetView tabSelected="1" workbookViewId="0">
      <selection activeCell="F3" sqref="F3:H9"/>
    </sheetView>
  </sheetViews>
  <sheetFormatPr defaultRowHeight="18.75" x14ac:dyDescent="0.4"/>
  <cols>
    <col min="7" max="7" width="10.75" customWidth="1"/>
    <col min="8" max="8" width="16.75" customWidth="1"/>
  </cols>
  <sheetData>
    <row r="2" spans="2:8" ht="37.5" x14ac:dyDescent="0.4">
      <c r="B2" s="1"/>
      <c r="C2" s="2" t="s">
        <v>4</v>
      </c>
      <c r="D2" s="2" t="s">
        <v>12</v>
      </c>
      <c r="E2" s="2" t="s">
        <v>0</v>
      </c>
      <c r="F2" s="2" t="s">
        <v>2</v>
      </c>
      <c r="G2" s="2" t="s">
        <v>3</v>
      </c>
      <c r="H2" s="2" t="s">
        <v>1</v>
      </c>
    </row>
    <row r="3" spans="2:8" x14ac:dyDescent="0.4">
      <c r="B3" s="1" t="s">
        <v>5</v>
      </c>
      <c r="C3" s="6">
        <v>2194</v>
      </c>
      <c r="D3" s="5">
        <v>1379.4</v>
      </c>
      <c r="E3" s="5">
        <v>735.4</v>
      </c>
      <c r="F3" s="1">
        <v>6287.1</v>
      </c>
      <c r="G3" s="1">
        <v>3351.9</v>
      </c>
      <c r="H3" s="1">
        <v>1.9</v>
      </c>
    </row>
    <row r="4" spans="2:8" x14ac:dyDescent="0.4">
      <c r="B4" s="1" t="s">
        <v>6</v>
      </c>
      <c r="C4" s="6">
        <v>2416</v>
      </c>
      <c r="D4" s="5">
        <v>921.5</v>
      </c>
      <c r="E4" s="5">
        <v>446.8</v>
      </c>
      <c r="F4" s="1">
        <v>3814.2</v>
      </c>
      <c r="G4" s="1">
        <v>1849.3</v>
      </c>
      <c r="H4" s="1">
        <v>2.1</v>
      </c>
    </row>
    <row r="5" spans="2:8" x14ac:dyDescent="0.4">
      <c r="B5" s="1" t="s">
        <v>7</v>
      </c>
      <c r="C5" s="6">
        <v>5156</v>
      </c>
      <c r="D5" s="5">
        <v>631</v>
      </c>
      <c r="E5" s="5">
        <v>298.60000000000002</v>
      </c>
      <c r="F5" s="1">
        <v>1223.8</v>
      </c>
      <c r="G5" s="1">
        <v>579.1</v>
      </c>
      <c r="H5" s="1">
        <v>2.1</v>
      </c>
    </row>
    <row r="6" spans="2:8" x14ac:dyDescent="0.4">
      <c r="B6" s="1" t="s">
        <v>8</v>
      </c>
      <c r="C6" s="6">
        <v>3797</v>
      </c>
      <c r="D6" s="5">
        <v>738.5</v>
      </c>
      <c r="E6" s="5">
        <v>343.1</v>
      </c>
      <c r="F6" s="1">
        <v>1945</v>
      </c>
      <c r="G6" s="1">
        <v>903.6</v>
      </c>
      <c r="H6" s="1">
        <v>2.2000000000000002</v>
      </c>
    </row>
    <row r="7" spans="2:8" x14ac:dyDescent="0.4">
      <c r="B7" s="1" t="s">
        <v>9</v>
      </c>
      <c r="C7" s="6">
        <v>6097</v>
      </c>
      <c r="D7" s="5">
        <v>289</v>
      </c>
      <c r="E7" s="5">
        <v>128.1</v>
      </c>
      <c r="F7" s="1">
        <v>474</v>
      </c>
      <c r="G7" s="1">
        <v>210.1</v>
      </c>
      <c r="H7" s="1">
        <v>2.2999999999999998</v>
      </c>
    </row>
    <row r="8" spans="2:8" x14ac:dyDescent="0.4">
      <c r="B8" s="1" t="s">
        <v>10</v>
      </c>
      <c r="C8" s="6">
        <v>6408</v>
      </c>
      <c r="D8" s="5">
        <v>194.2</v>
      </c>
      <c r="E8" s="5">
        <v>85.3</v>
      </c>
      <c r="F8" s="1">
        <v>303.10000000000002</v>
      </c>
      <c r="G8" s="1">
        <v>133.1</v>
      </c>
      <c r="H8" s="1">
        <v>2.2999999999999998</v>
      </c>
    </row>
    <row r="9" spans="2:8" x14ac:dyDescent="0.4">
      <c r="B9" s="1" t="s">
        <v>11</v>
      </c>
      <c r="C9" s="6">
        <v>6362</v>
      </c>
      <c r="D9" s="5">
        <v>194.3</v>
      </c>
      <c r="E9" s="5">
        <v>86.6</v>
      </c>
      <c r="F9" s="1">
        <v>305.39999999999998</v>
      </c>
      <c r="G9" s="1">
        <v>136.1</v>
      </c>
      <c r="H9" s="1">
        <v>2.2000000000000002</v>
      </c>
    </row>
    <row r="12" spans="2:8" x14ac:dyDescent="0.4">
      <c r="B12" s="7" t="s">
        <v>13</v>
      </c>
      <c r="C12" s="7"/>
      <c r="D12" s="7"/>
      <c r="E12" s="7"/>
      <c r="F12" s="7"/>
      <c r="G12" s="7"/>
      <c r="H12" s="7"/>
    </row>
    <row r="14" spans="2:8" ht="37.5" x14ac:dyDescent="0.4">
      <c r="B14" s="1"/>
      <c r="C14" s="2" t="s">
        <v>4</v>
      </c>
      <c r="D14" s="2" t="s">
        <v>12</v>
      </c>
      <c r="E14" s="2" t="s">
        <v>0</v>
      </c>
      <c r="F14" s="2" t="s">
        <v>2</v>
      </c>
      <c r="G14" s="2" t="s">
        <v>3</v>
      </c>
      <c r="H14" s="2" t="s">
        <v>1</v>
      </c>
    </row>
    <row r="15" spans="2:8" x14ac:dyDescent="0.4">
      <c r="B15" s="1" t="s">
        <v>5</v>
      </c>
      <c r="C15" s="4">
        <v>2194</v>
      </c>
      <c r="D15" s="5">
        <v>1379.4</v>
      </c>
      <c r="E15" s="5">
        <v>735.4</v>
      </c>
      <c r="F15" s="3">
        <f>D15*10000/C15</f>
        <v>6287.14676390155</v>
      </c>
      <c r="G15" s="3">
        <f>E15*10000/C15</f>
        <v>3351.8687329079307</v>
      </c>
      <c r="H15" s="3">
        <f>D15/E15</f>
        <v>1.8757138971988037</v>
      </c>
    </row>
    <row r="16" spans="2:8" x14ac:dyDescent="0.4">
      <c r="B16" s="1" t="s">
        <v>6</v>
      </c>
      <c r="C16" s="4">
        <v>2416</v>
      </c>
      <c r="D16" s="5">
        <v>921.5</v>
      </c>
      <c r="E16" s="5">
        <v>446.8</v>
      </c>
      <c r="F16" s="3">
        <f t="shared" ref="F16:F21" si="0">D16*10000/C16</f>
        <v>3814.155629139073</v>
      </c>
      <c r="G16" s="3">
        <f t="shared" ref="G16:G21" si="1">E16*10000/C16</f>
        <v>1849.3377483443708</v>
      </c>
      <c r="H16" s="3">
        <f t="shared" ref="H16:H21" si="2">D16/E16</f>
        <v>2.0624440465532676</v>
      </c>
    </row>
    <row r="17" spans="2:8" x14ac:dyDescent="0.4">
      <c r="B17" s="1" t="s">
        <v>7</v>
      </c>
      <c r="C17" s="4">
        <v>5156</v>
      </c>
      <c r="D17" s="5">
        <v>631</v>
      </c>
      <c r="E17" s="5">
        <v>298.60000000000002</v>
      </c>
      <c r="F17" s="3">
        <f t="shared" si="0"/>
        <v>1223.8169123351436</v>
      </c>
      <c r="G17" s="3">
        <f t="shared" si="1"/>
        <v>579.1311093871218</v>
      </c>
      <c r="H17" s="3">
        <f t="shared" si="2"/>
        <v>2.1131949095780307</v>
      </c>
    </row>
    <row r="18" spans="2:8" x14ac:dyDescent="0.4">
      <c r="B18" s="1" t="s">
        <v>8</v>
      </c>
      <c r="C18" s="4">
        <v>3797</v>
      </c>
      <c r="D18" s="5">
        <v>738.5</v>
      </c>
      <c r="E18" s="5">
        <v>343.1</v>
      </c>
      <c r="F18" s="3">
        <f t="shared" si="0"/>
        <v>1944.9565446405056</v>
      </c>
      <c r="G18" s="3">
        <f t="shared" si="1"/>
        <v>903.60811166710562</v>
      </c>
      <c r="H18" s="3">
        <f t="shared" si="2"/>
        <v>2.1524336928009324</v>
      </c>
    </row>
    <row r="19" spans="2:8" x14ac:dyDescent="0.4">
      <c r="B19" s="1" t="s">
        <v>9</v>
      </c>
      <c r="C19" s="4">
        <v>6097</v>
      </c>
      <c r="D19" s="5">
        <v>289</v>
      </c>
      <c r="E19" s="5">
        <v>128.1</v>
      </c>
      <c r="F19" s="3">
        <f t="shared" si="0"/>
        <v>474.00360833196652</v>
      </c>
      <c r="G19" s="3">
        <f t="shared" si="1"/>
        <v>210.10332950631459</v>
      </c>
      <c r="H19" s="3">
        <f t="shared" si="2"/>
        <v>2.256049960967994</v>
      </c>
    </row>
    <row r="20" spans="2:8" x14ac:dyDescent="0.4">
      <c r="B20" s="1" t="s">
        <v>10</v>
      </c>
      <c r="C20" s="4">
        <v>6408</v>
      </c>
      <c r="D20" s="5">
        <v>194.2</v>
      </c>
      <c r="E20" s="5">
        <v>85.3</v>
      </c>
      <c r="F20" s="3">
        <f t="shared" si="0"/>
        <v>303.05867665418225</v>
      </c>
      <c r="G20" s="3">
        <f t="shared" si="1"/>
        <v>133.11485642946317</v>
      </c>
      <c r="H20" s="3">
        <f t="shared" si="2"/>
        <v>2.2766705744431417</v>
      </c>
    </row>
    <row r="21" spans="2:8" x14ac:dyDescent="0.4">
      <c r="B21" s="1" t="s">
        <v>11</v>
      </c>
      <c r="C21" s="4">
        <v>6362</v>
      </c>
      <c r="D21" s="5">
        <v>194.3</v>
      </c>
      <c r="E21" s="5">
        <v>86.6</v>
      </c>
      <c r="F21" s="3">
        <f t="shared" si="0"/>
        <v>305.40710468406161</v>
      </c>
      <c r="G21" s="3">
        <f t="shared" si="1"/>
        <v>136.12071675573719</v>
      </c>
      <c r="H21" s="3">
        <f t="shared" si="2"/>
        <v>2.2436489607390304</v>
      </c>
    </row>
  </sheetData>
  <mergeCells count="1">
    <mergeCell ref="B12:H1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ac07_01_Ans">
                <anchor moveWithCells="1" sizeWithCells="1">
                  <from>
                    <xdr:col>8</xdr:col>
                    <xdr:colOff>666750</xdr:colOff>
                    <xdr:row>1</xdr:row>
                    <xdr:rowOff>457200</xdr:rowOff>
                  </from>
                  <to>
                    <xdr:col>11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10</xdr:col>
                    <xdr:colOff>676275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湘南工科大学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Shimizu</dc:creator>
  <cp:lastModifiedBy>Shimizu</cp:lastModifiedBy>
  <dcterms:created xsi:type="dcterms:W3CDTF">2022-11-14T08:49:48Z</dcterms:created>
  <dcterms:modified xsi:type="dcterms:W3CDTF">2023-05-22T05:11:36Z</dcterms:modified>
</cp:coreProperties>
</file>